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BMC\Documents\"/>
    </mc:Choice>
  </mc:AlternateContent>
  <bookViews>
    <workbookView xWindow="0" yWindow="0" windowWidth="28800" windowHeight="12435"/>
  </bookViews>
  <sheets>
    <sheet name="form" sheetId="1" r:id="rId1"/>
    <sheet name="data base" sheetId="2" r:id="rId2"/>
  </sheets>
  <definedNames>
    <definedName name="_xlnm._FilterDatabase" localSheetId="0" hidden="1">form!$B$25:$B$36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34" i="1"/>
  <c r="C33" i="1"/>
  <c r="C32" i="1"/>
  <c r="C31" i="1"/>
  <c r="C30" i="1"/>
  <c r="C28" i="1"/>
  <c r="C29" i="1"/>
  <c r="C27" i="1"/>
  <c r="C26" i="1"/>
  <c r="C25" i="1"/>
  <c r="F14" i="1"/>
  <c r="C36" i="1" s="1"/>
</calcChain>
</file>

<file path=xl/sharedStrings.xml><?xml version="1.0" encoding="utf-8"?>
<sst xmlns="http://schemas.openxmlformats.org/spreadsheetml/2006/main" count="49" uniqueCount="25">
  <si>
    <t>Employee Data form</t>
  </si>
  <si>
    <t>Employee name</t>
  </si>
  <si>
    <t>Employee code</t>
  </si>
  <si>
    <t>Email ID</t>
  </si>
  <si>
    <t>Date of birth</t>
  </si>
  <si>
    <t>Department</t>
  </si>
  <si>
    <t>Location</t>
  </si>
  <si>
    <t>HRA</t>
  </si>
  <si>
    <t>Basic Salary</t>
  </si>
  <si>
    <t xml:space="preserve">Medical </t>
  </si>
  <si>
    <t>Conveyance</t>
  </si>
  <si>
    <t>Deductions</t>
  </si>
  <si>
    <t>Net pay</t>
  </si>
  <si>
    <t>ADMIN</t>
  </si>
  <si>
    <t>saad</t>
  </si>
  <si>
    <t>xnc100</t>
  </si>
  <si>
    <t>saadtahir@gmail.com</t>
  </si>
  <si>
    <t>22/10/2006</t>
  </si>
  <si>
    <t>office</t>
  </si>
  <si>
    <t>Abdullah</t>
  </si>
  <si>
    <t>abc200</t>
  </si>
  <si>
    <t>MalikAbdullah@gmail.com</t>
  </si>
  <si>
    <t>15/4/2005</t>
  </si>
  <si>
    <t>HR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</si>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</sst>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3" fontId="0" fillId="0" borderId="0" xfId="0" applyNumberFormat="1"/>
    <xf numFmtId="0" fontId="0" fillId="3" borderId="1" xfId="0" applyFill="1" applyBorder="1"/>
    <xf numFmtId="0" fontId="0" fillId="0" borderId="5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8" xfId="0" applyBorder="1" applyAlignment="1">
      <alignment horizontal="right"/>
    </xf>
    <xf numFmtId="0" fontId="0" fillId="0" borderId="9" xfId="0" applyBorder="1"/>
    <xf numFmtId="0" fontId="0" fillId="5" borderId="0" xfId="0" applyFill="1"/>
    <xf numFmtId="14" fontId="0" fillId="5" borderId="0" xfId="0" applyNumberFormat="1" applyFill="1"/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3" fontId="4" fillId="4" borderId="0" xfId="0" applyNumberFormat="1" applyFont="1" applyFill="1" applyAlignment="1">
      <alignment horizontal="center" vertical="center"/>
    </xf>
    <xf numFmtId="0" fontId="0" fillId="3" borderId="1" xfId="0" applyFill="1" applyBorder="1" applyProtection="1">
      <protection locked="0"/>
    </xf>
    <xf numFmtId="0" fontId="5" fillId="3" borderId="1" xfId="1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0" fontId="0" fillId="5" borderId="0" xfId="0" applyFill="1" applyProtection="1">
      <protection locked="0"/>
    </xf>
    <xf numFmtId="0" fontId="3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30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12</xdr:row>
          <xdr:rowOff>171450</xdr:rowOff>
        </xdr:from>
        <xdr:to>
          <xdr:col>2</xdr:col>
          <xdr:colOff>1266825</xdr:colOff>
          <xdr:row>14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12</xdr:row>
          <xdr:rowOff>171450</xdr:rowOff>
        </xdr:from>
        <xdr:to>
          <xdr:col>3</xdr:col>
          <xdr:colOff>219075</xdr:colOff>
          <xdr:row>14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1304925</xdr:colOff>
      <xdr:row>1</xdr:row>
      <xdr:rowOff>11429</xdr:rowOff>
    </xdr:from>
    <xdr:to>
      <xdr:col>6</xdr:col>
      <xdr:colOff>0</xdr:colOff>
      <xdr:row>1</xdr:row>
      <xdr:rowOff>331469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1025" y="201929"/>
          <a:ext cx="342900" cy="3200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704850</xdr:colOff>
          <xdr:row>13</xdr:row>
          <xdr:rowOff>76200</xdr:rowOff>
        </xdr:from>
        <xdr:to>
          <xdr:col>4</xdr:col>
          <xdr:colOff>428625</xdr:colOff>
          <xdr:row>15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47"/>
  <sheetViews>
    <sheetView showGridLines="0" tabSelected="1" workbookViewId="0">
      <selection activeCell="J14" sqref="J14"/>
    </sheetView>
  </sheetViews>
  <sheetFormatPr defaultRowHeight="15" x14ac:dyDescent="0.25"/>
  <cols>
    <col min="1" max="1" width="5" customWidth="1"/>
    <col min="2" max="2" width="25" style="1" customWidth="1"/>
    <col min="3" max="3" width="25.140625" customWidth="1"/>
    <col min="4" max="4" width="22.85546875" customWidth="1"/>
    <col min="5" max="5" width="27.140625" style="1" customWidth="1"/>
    <col min="6" max="6" width="24.7109375" customWidth="1"/>
    <col min="9" max="9" width="17.7109375" customWidth="1"/>
  </cols>
  <sheetData>
    <row r="1" spans="1:2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26.25" x14ac:dyDescent="0.4">
      <c r="A2" s="14"/>
      <c r="B2" s="24" t="s">
        <v>0</v>
      </c>
      <c r="C2" s="25"/>
      <c r="D2" s="25"/>
      <c r="E2" s="25"/>
      <c r="F2" s="26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21" x14ac:dyDescent="0.25">
      <c r="A3" s="14"/>
      <c r="B3" s="4"/>
      <c r="C3" s="5"/>
      <c r="D3" s="5"/>
      <c r="E3" s="6"/>
      <c r="F3" s="7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</row>
    <row r="4" spans="1:21" x14ac:dyDescent="0.25">
      <c r="A4" s="14"/>
      <c r="B4" s="8" t="s">
        <v>1</v>
      </c>
      <c r="C4" s="20"/>
      <c r="D4" s="5"/>
      <c r="E4" s="9" t="s">
        <v>8</v>
      </c>
      <c r="F4" s="20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1" x14ac:dyDescent="0.25">
      <c r="A5" s="14"/>
      <c r="B5" s="8"/>
      <c r="C5" s="5"/>
      <c r="D5" s="5"/>
      <c r="E5" s="9"/>
      <c r="F5" s="7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</row>
    <row r="6" spans="1:21" x14ac:dyDescent="0.25">
      <c r="A6" s="14"/>
      <c r="B6" s="8" t="s">
        <v>2</v>
      </c>
      <c r="C6" s="20"/>
      <c r="D6" s="5"/>
      <c r="E6" s="9" t="s">
        <v>7</v>
      </c>
      <c r="F6" s="20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1" x14ac:dyDescent="0.25">
      <c r="A7" s="14"/>
      <c r="B7" s="8"/>
      <c r="C7" s="5"/>
      <c r="D7" s="5"/>
      <c r="E7" s="9"/>
      <c r="F7" s="7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</row>
    <row r="8" spans="1:21" x14ac:dyDescent="0.25">
      <c r="A8" s="14"/>
      <c r="B8" s="8" t="s">
        <v>3</v>
      </c>
      <c r="C8" s="21"/>
      <c r="D8" s="5"/>
      <c r="E8" s="9" t="s">
        <v>9</v>
      </c>
      <c r="F8" s="20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1" x14ac:dyDescent="0.25">
      <c r="A9" s="14"/>
      <c r="B9" s="8"/>
      <c r="C9" s="5"/>
      <c r="D9" s="5"/>
      <c r="E9" s="9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</row>
    <row r="10" spans="1:21" x14ac:dyDescent="0.25">
      <c r="A10" s="14"/>
      <c r="B10" s="8" t="s">
        <v>4</v>
      </c>
      <c r="C10" s="22"/>
      <c r="D10" s="5"/>
      <c r="E10" s="9" t="s">
        <v>10</v>
      </c>
      <c r="F10" s="20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1" x14ac:dyDescent="0.25">
      <c r="A11" s="14"/>
      <c r="B11" s="8"/>
      <c r="C11" s="5"/>
      <c r="D11" s="5"/>
      <c r="E11" s="9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</row>
    <row r="12" spans="1:21" x14ac:dyDescent="0.25">
      <c r="A12" s="14"/>
      <c r="B12" s="8" t="s">
        <v>5</v>
      </c>
      <c r="C12" s="20"/>
      <c r="D12" s="5"/>
      <c r="E12" s="9" t="s">
        <v>11</v>
      </c>
      <c r="F12" s="20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1" x14ac:dyDescent="0.25">
      <c r="A13" s="14"/>
      <c r="B13" s="8"/>
      <c r="C13" s="5"/>
      <c r="D13" s="5"/>
      <c r="E13" s="9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</row>
    <row r="14" spans="1:21" x14ac:dyDescent="0.25">
      <c r="A14" s="14"/>
      <c r="B14" s="8" t="s">
        <v>6</v>
      </c>
      <c r="C14" s="3"/>
      <c r="D14" s="5"/>
      <c r="E14" s="9" t="s">
        <v>12</v>
      </c>
      <c r="F14" s="20">
        <f>F4+F6+F8+F10-F12</f>
        <v>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1" x14ac:dyDescent="0.25">
      <c r="A15" s="14"/>
      <c r="B15" s="4"/>
      <c r="C15" s="5"/>
      <c r="D15" s="5"/>
      <c r="E15" s="6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</row>
    <row r="16" spans="1:21" x14ac:dyDescent="0.25">
      <c r="A16" s="14"/>
      <c r="B16" s="10"/>
      <c r="C16" s="11"/>
      <c r="D16" s="11"/>
      <c r="E16" s="12"/>
      <c r="F16" s="13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</row>
    <row r="18" spans="1:21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</row>
    <row r="20" spans="1:21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</row>
    <row r="22" spans="1:21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</row>
    <row r="24" spans="1:21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</row>
    <row r="25" spans="1:21" x14ac:dyDescent="0.25">
      <c r="A25" s="14"/>
      <c r="B25" s="14" t="s">
        <v>1</v>
      </c>
      <c r="C25" s="14">
        <f>C4</f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</row>
    <row r="26" spans="1:21" x14ac:dyDescent="0.25">
      <c r="A26" s="14"/>
      <c r="B26" s="14" t="s">
        <v>2</v>
      </c>
      <c r="C26" s="14">
        <f>C6</f>
        <v>0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</row>
    <row r="27" spans="1:21" x14ac:dyDescent="0.25">
      <c r="A27" s="14"/>
      <c r="B27" s="14" t="s">
        <v>3</v>
      </c>
      <c r="C27" s="14">
        <f>C8</f>
        <v>0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1:21" x14ac:dyDescent="0.25">
      <c r="A28" s="14"/>
      <c r="B28" s="14" t="s">
        <v>4</v>
      </c>
      <c r="C28" s="15">
        <f>C10</f>
        <v>0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1:21" x14ac:dyDescent="0.25">
      <c r="A29" s="14"/>
      <c r="B29" s="14" t="s">
        <v>5</v>
      </c>
      <c r="C29" s="14">
        <f>C12</f>
        <v>0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1:21" x14ac:dyDescent="0.25">
      <c r="A30" s="14"/>
      <c r="B30" s="14" t="s">
        <v>6</v>
      </c>
      <c r="C30" s="14" t="str">
        <f>IF(D30=1,"site","office")</f>
        <v>site</v>
      </c>
      <c r="D30" s="23">
        <v>1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1:21" x14ac:dyDescent="0.25">
      <c r="A31" s="14"/>
      <c r="B31" s="14" t="s">
        <v>8</v>
      </c>
      <c r="C31" s="14">
        <f>F4</f>
        <v>0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1:21" x14ac:dyDescent="0.25">
      <c r="A32" s="14"/>
      <c r="B32" s="14" t="s">
        <v>7</v>
      </c>
      <c r="C32" s="14">
        <f>F6</f>
        <v>0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1:21" x14ac:dyDescent="0.25">
      <c r="A33" s="14"/>
      <c r="B33" s="14" t="s">
        <v>9</v>
      </c>
      <c r="C33" s="14">
        <f>F8</f>
        <v>0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spans="1:21" x14ac:dyDescent="0.25">
      <c r="A34" s="14"/>
      <c r="B34" s="14" t="s">
        <v>10</v>
      </c>
      <c r="C34" s="14">
        <f>F10</f>
        <v>0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1:21" x14ac:dyDescent="0.25">
      <c r="A35" s="14"/>
      <c r="B35" s="14" t="s">
        <v>11</v>
      </c>
      <c r="C35" s="14">
        <f>F12</f>
        <v>0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1:21" x14ac:dyDescent="0.25">
      <c r="A36" s="14"/>
      <c r="B36" s="14" t="s">
        <v>12</v>
      </c>
      <c r="C36" s="14">
        <f>F14</f>
        <v>0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1:21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1:21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1:21" x14ac:dyDescent="0.25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1:21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1:21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1:21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1:21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1:21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1:21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1:21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</sheetData>
  <sheetProtection algorithmName="SHA-512" hashValue="OhhD/Lyr47zzxnIRA0vZb4L8agq6mOElCWf4vc6hJcY9syTDKprYlYdV6qW9e5Ld9yRuxBhuXcW9yjo+Q26XDg==" saltValue="H3vYO34lutmCl0Wck586/w==" spinCount="100000" sheet="1" objects="1" scenarios="1"/>
  <mergeCells count="1">
    <mergeCell ref="B2:F2"/>
  </mergeCells>
  <dataValidations count="1">
    <dataValidation type="list" allowBlank="1" showInputMessage="1" showErrorMessage="1" sqref="C12">
      <formula1>"AI,ADMIN,ACCOUNTS,HR"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247650</xdr:colOff>
                    <xdr:row>12</xdr:row>
                    <xdr:rowOff>171450</xdr:rowOff>
                  </from>
                  <to>
                    <xdr:col>2</xdr:col>
                    <xdr:colOff>1266825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876300</xdr:colOff>
                    <xdr:row>12</xdr:row>
                    <xdr:rowOff>171450</xdr:rowOff>
                  </from>
                  <to>
                    <xdr:col>3</xdr:col>
                    <xdr:colOff>219075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aadproject">
                <anchor moveWithCells="1" sizeWithCells="1">
                  <from>
                    <xdr:col>3</xdr:col>
                    <xdr:colOff>704850</xdr:colOff>
                    <xdr:row>13</xdr:row>
                    <xdr:rowOff>76200</xdr:rowOff>
                  </from>
                  <to>
                    <xdr:col>4</xdr:col>
                    <xdr:colOff>428625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4"/>
  <sheetViews>
    <sheetView workbookViewId="0">
      <selection activeCell="B3" sqref="B3:M3"/>
    </sheetView>
  </sheetViews>
  <sheetFormatPr defaultRowHeight="15" x14ac:dyDescent="0.25"/>
  <cols>
    <col min="2" max="4" width="29.140625" customWidth="1"/>
    <col min="5" max="5" width="29.140625" style="18" customWidth="1"/>
    <col min="6" max="7" width="29.140625" customWidth="1"/>
    <col min="8" max="13" width="29.140625" style="2" customWidth="1"/>
  </cols>
  <sheetData>
    <row r="2" spans="2:13" ht="15.75" x14ac:dyDescent="0.25">
      <c r="B2" s="16" t="s">
        <v>1</v>
      </c>
      <c r="C2" s="16" t="s">
        <v>2</v>
      </c>
      <c r="D2" s="16" t="s">
        <v>3</v>
      </c>
      <c r="E2" s="17" t="s">
        <v>4</v>
      </c>
      <c r="F2" s="16" t="s">
        <v>5</v>
      </c>
      <c r="G2" s="16" t="s">
        <v>6</v>
      </c>
      <c r="H2" s="19" t="s">
        <v>8</v>
      </c>
      <c r="I2" s="19" t="s">
        <v>7</v>
      </c>
      <c r="J2" s="19" t="s">
        <v>9</v>
      </c>
      <c r="K2" s="19" t="s">
        <v>10</v>
      </c>
      <c r="L2" s="19" t="s">
        <v>11</v>
      </c>
      <c r="M2" s="19" t="s">
        <v>12</v>
      </c>
    </row>
    <row r="3" spans="2:13" x14ac:dyDescent="0.25">
      <c r="B3" t="s">
        <v>19</v>
      </c>
      <c r="C3" t="s">
        <v>20</v>
      </c>
      <c r="D3" t="s">
        <v>21</v>
      </c>
      <c r="E3" s="18" t="s">
        <v>22</v>
      </c>
      <c r="F3" t="s">
        <v>23</v>
      </c>
      <c r="G3" t="s">
        <v>24</v>
      </c>
      <c r="H3" s="2">
        <v>28000</v>
      </c>
      <c r="I3" s="2">
        <v>3000</v>
      </c>
      <c r="J3" s="2">
        <v>4000</v>
      </c>
      <c r="K3" s="2">
        <v>5000</v>
      </c>
      <c r="L3" s="2">
        <v>2000</v>
      </c>
      <c r="M3" s="2">
        <v>38000</v>
      </c>
    </row>
    <row r="4" spans="2:13" x14ac:dyDescent="0.25">
      <c r="B4" t="s">
        <v>14</v>
      </c>
      <c r="C4" t="s">
        <v>15</v>
      </c>
      <c r="D4" t="s">
        <v>16</v>
      </c>
      <c r="E4" s="18" t="s">
        <v>17</v>
      </c>
      <c r="F4" t="s">
        <v>13</v>
      </c>
      <c r="G4" t="s">
        <v>18</v>
      </c>
      <c r="H4" s="2">
        <v>40000</v>
      </c>
      <c r="I4" s="2">
        <v>18000</v>
      </c>
      <c r="J4" s="2">
        <v>6000</v>
      </c>
      <c r="K4" s="2">
        <v>4000</v>
      </c>
      <c r="L4" s="2">
        <v>1700</v>
      </c>
      <c r="M4" s="2">
        <v>66300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 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2024-12-13T05:11:31Z</dcterms:created>
  <dcterms:modified xsi:type="dcterms:W3CDTF">2024-12-13T06:07:23Z</dcterms:modified>
</cp:coreProperties>
</file>